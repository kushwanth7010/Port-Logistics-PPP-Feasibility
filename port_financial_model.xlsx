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7a6c105b3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da7f758679f456e"/>
    <x:sheet xmlns:r="http://schemas.openxmlformats.org/officeDocument/2006/relationships" name="Base Model" sheetId="2" r:id="R32a175e9d9924134"/>
    <x:sheet xmlns:r="http://schemas.openxmlformats.org/officeDocument/2006/relationships" name="Scenarios" sheetId="3" r:id="Rcca2d919ec9e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%"/>
    <x:numFmt numFmtId="202" formatCode="#,##0.00;[Red](#,##0.00);-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047"/>
      </x:patternFill>
    </x:fill>
    <x:fill>
      <x:patternFill patternType="solid">
        <x:fgColor rgb="FFE6EAF1"/>
      </x:patternFill>
    </x:fill>
    <x:fill>
      <x:patternFill patternType="solid">
        <x:fgColor rgb="FFFFF1B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27412bd024a9c" /><Relationship Type="http://schemas.openxmlformats.org/officeDocument/2006/relationships/theme" Target="/xl/theme/theme1.xml" Id="R6ed14fa286a142ec" /><Relationship Type="http://schemas.openxmlformats.org/officeDocument/2006/relationships/sharedStrings" Target="/xl/sharedStrings.xml" Id="R9d6a0e6870794b2a" /><Relationship Type="http://schemas.openxmlformats.org/officeDocument/2006/relationships/worksheet" Target="/xl/worksheets/sheet1.xml" Id="R9da7f758679f456e" /><Relationship Type="http://schemas.openxmlformats.org/officeDocument/2006/relationships/worksheet" Target="/xl/worksheets/sheet2.xml" Id="R32a175e9d9924134" /><Relationship Type="http://schemas.openxmlformats.org/officeDocument/2006/relationships/worksheet" Target="/xl/worksheets/sheet3.xml" Id="Rcca2d919ec9e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8" hidden="0" customWidth="1"/>
    <x:col min="3" max="3" width="37" hidden="0" customWidth="1"/>
    <x:col min="5" max="5" width="31" hidden="0" customWidth="1"/>
    <x:col min="6" max="6" width="19" hidden="0" customWidth="1"/>
  </x:cols>
  <x:sheetData>
    <x:row r="1" ht="30" customHeight="1">
      <x:c r="A1" s="3" t="str">
        <x:v>PORT &amp; LOGISTICS | HYPOTHETICAL PPP FINANCIAL MODEL</x:v>
      </x:c>
      <x:c r="B1" s="3"/>
      <x:c r="C1" s="3"/>
      <x:c r="D1" s="3"/>
    </x:row>
    <x:row r="3">
      <x:c r="A3" s="7" t="str">
        <x:v>EDITABLE ASSUMPTIONS</x:v>
      </x:c>
      <x:c r="B3" s="7" t="str">
        <x:v>VALUE</x:v>
      </x:c>
      <x:c r="C3" s="7" t="str">
        <x:v>PROVENANCE</x:v>
      </x:c>
      <x:c r="E3" s="7" t="str">
        <x:v>BASE-CASE OUTPUT</x:v>
      </x:c>
      <x:c r="F3" s="7" t="str">
        <x:v>VALUE</x:v>
      </x:c>
    </x:row>
    <x:row r="4">
      <x:c r="A4" t="str">
        <x:v>Year 1 addressable market (tonnes)</x:v>
      </x:c>
      <x:c r="B4" s="11" t="n">
        <x:v>12000000</x:v>
      </x:c>
      <x:c r="C4" t="str">
        <x:v>Synthetic assumption</x:v>
      </x:c>
      <x:c r="E4" t="str">
        <x:v>NPV (INR crore)</x:v>
      </x:c>
      <x:c r="F4" s="16" t="n">
        <x:f>SUM('Base Model'!O4:O24)</x:f>
        <x:v>44.38645685868901</x:v>
      </x:c>
    </x:row>
    <x:row r="5">
      <x:c r="A5" t="str">
        <x:v>Annual market growth</x:v>
      </x:c>
      <x:c r="B5" s="14" t="n">
        <x:v>0.06</x:v>
      </x:c>
      <x:c r="C5" t="str">
        <x:v>Synthetic assumption</x:v>
      </x:c>
      <x:c r="E5" t="str">
        <x:v>Project IRR</x:v>
      </x:c>
      <x:c r="F5" s="18" t="n">
        <x:f>IRR('Base Model'!N4:N24)</x:f>
        <x:v>0.12782685239198177</x:v>
      </x:c>
    </x:row>
    <x:row r="6">
      <x:c r="A6" t="str">
        <x:v>Capture share</x:v>
      </x:c>
      <x:c r="B6" s="14" t="n">
        <x:v>0.18</x:v>
      </x:c>
      <x:c r="C6" t="str">
        <x:v>Synthetic assumption</x:v>
      </x:c>
      <x:c r="E6" t="str">
        <x:v>Year 1 revenue (INR crore)</x:v>
      </x:c>
      <x:c r="F6" s="16" t="n">
        <x:f>'Base Model'!E5</x:f>
        <x:v>140.4</x:v>
      </x:c>
    </x:row>
    <x:row r="7">
      <x:c r="A7" t="str">
        <x:v>Maximum annual capacity (tonnes)</x:v>
      </x:c>
      <x:c r="B7" s="11" t="n">
        <x:v>7500000</x:v>
      </x:c>
      <x:c r="C7" t="str">
        <x:v>Synthetic assumption</x:v>
      </x:c>
      <x:c r="E7" t="str">
        <x:v>Year 1 EBITDA (INR crore)</x:v>
      </x:c>
      <x:c r="F7" s="16" t="n">
        <x:f>'Base Model'!H5</x:f>
        <x:v>71.52000000000001</x:v>
      </x:c>
    </x:row>
    <x:row r="8">
      <x:c r="A8" t="str">
        <x:v>Realized tariff (INR/tonne)</x:v>
      </x:c>
      <x:c r="B8" s="11" t="n">
        <x:v>650</x:v>
      </x:c>
      <x:c r="C8" t="str">
        <x:v>Synthetic assumption</x:v>
      </x:c>
    </x:row>
    <x:row r="9">
      <x:c r="A9" t="str">
        <x:v>Initial capex (INR crore)</x:v>
      </x:c>
      <x:c r="B9" s="11" t="n">
        <x:v>700</x:v>
      </x:c>
      <x:c r="C9" t="str">
        <x:v>Synthetic assumption</x:v>
      </x:c>
    </x:row>
    <x:row r="10">
      <x:c r="A10" t="str">
        <x:v>Fixed annual opex (INR crore)</x:v>
      </x:c>
      <x:c r="B10" s="11" t="n">
        <x:v>30</x:v>
      </x:c>
      <x:c r="C10" t="str">
        <x:v>Synthetic assumption</x:v>
      </x:c>
      <x:c r="E10" t="str">
        <x:v>All numbers are illustrative, not port forecasts.</x:v>
      </x:c>
    </x:row>
    <x:row r="11">
      <x:c r="A11" t="str">
        <x:v>Variable opex (INR/tonne)</x:v>
      </x:c>
      <x:c r="B11" s="11" t="n">
        <x:v>180</x:v>
      </x:c>
      <x:c r="C11" t="str">
        <x:v>Synthetic assumption</x:v>
      </x:c>
    </x:row>
    <x:row r="12">
      <x:c r="A12" t="str">
        <x:v>Discount rate</x:v>
      </x:c>
      <x:c r="B12" s="14" t="n">
        <x:v>0.12</x:v>
      </x:c>
      <x:c r="C12" t="str">
        <x:v>Illustrative rate; not market WACC</x:v>
      </x:c>
    </x:row>
    <x:row r="13">
      <x:c r="A13" t="str">
        <x:v>Corporate tax rate</x:v>
      </x:c>
      <x:c r="B13" s="14" t="n">
        <x:v>0.25</x:v>
      </x:c>
      <x:c r="C13" t="str">
        <x:v>Simplified tax assumption</x:v>
      </x:c>
    </x:row>
    <x:row r="14">
      <x:c r="A14" t="str">
        <x:v>Concession years</x:v>
      </x:c>
      <x:c r="B14" s="11" t="n">
        <x:v>20</x:v>
      </x:c>
      <x:c r="C14" t="str">
        <x:v>Synthetic assumption</x:v>
      </x:c>
    </x:row>
    <x:row r="15">
      <x:c r="A15" t="str">
        <x:v>Residual value (INR crore)</x:v>
      </x:c>
      <x:c r="B15" s="11" t="n">
        <x:v>0</x:v>
      </x:c>
      <x:c r="C15" t="str">
        <x:v>Synthetic assumption</x:v>
      </x:c>
    </x:row>
    <x:row r="16">
      <x:c r="A16" t="str">
        <x:v>Annual WC change (INR crore)</x:v>
      </x:c>
      <x:c r="B16" s="11" t="n">
        <x:v>0</x:v>
      </x:c>
      <x:c r="C16" t="str">
        <x:v>Synthetic assumption</x:v>
      </x:c>
    </x:row>
  </x:sheetData>
  <x:mergeCells>
    <x:mergeCell ref="A1:D1"/>
    <x:mergeCell ref="E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" max="1" width="9" hidden="0" customWidth="1"/>
  </x:cols>
  <x:sheetData>
    <x:row r="1" ht="29" customHeight="1">
      <x:c r="A1" s="3" t="str">
        <x:v>20-YEAR UNLEVERED PROJECT FREE-CASH-FLOW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6" customHeight="1">
      <x:c r="A3" s="20" t="str">
        <x:v>Year</x:v>
      </x:c>
      <x:c r="B3" s="20" t="str">
        <x:v>Market (tonnes)</x:v>
      </x:c>
      <x:c r="C3" s="20" t="str">
        <x:v>Demand (tonnes)</x:v>
      </x:c>
      <x:c r="D3" s="20" t="str">
        <x:v>Throughput (tonnes)</x:v>
      </x:c>
      <x:c r="E3" s="20" t="str">
        <x:v>Revenue (INR cr)</x:v>
      </x:c>
      <x:c r="F3" s="20" t="str">
        <x:v>Variable opex (INR cr)</x:v>
      </x:c>
      <x:c r="G3" s="20" t="str">
        <x:v>Fixed opex (INR cr)</x:v>
      </x:c>
      <x:c r="H3" s="20" t="str">
        <x:v>EBITDA (INR cr)</x:v>
      </x:c>
      <x:c r="I3" s="20" t="str">
        <x:v>Depreciation (INR cr)</x:v>
      </x:c>
      <x:c r="J3" s="20" t="str">
        <x:v>EBIT (INR cr)</x:v>
      </x:c>
      <x:c r="K3" s="20" t="str">
        <x:v>Cash tax (INR cr)</x:v>
      </x:c>
      <x:c r="L3" s="20" t="str">
        <x:v>Residual (INR cr)</x:v>
      </x:c>
      <x:c r="M3" s="20" t="str">
        <x:v>Change WC (INR cr)</x:v>
      </x:c>
      <x:c r="N3" s="20" t="str">
        <x:v>Project FCF (INR cr)</x:v>
      </x:c>
      <x:c r="O3" s="20" t="str">
        <x:v>Discounted FCF (INR cr)</x:v>
      </x:c>
      <x:c r="P3" s="20" t="str">
        <x:v>Cumulative FCF (INR cr)</x:v>
      </x:c>
    </x:row>
    <x:row r="4">
      <x:c r="A4" t="n">
        <x:v>0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 t="n">
        <x:f>-Inputs!B9</x:f>
        <x:v>-700</x:v>
      </x:c>
      <x:c r="O4" s="22" t="n">
        <x:f>N4</x:f>
        <x:v>-700</x:v>
      </x:c>
      <x:c r="P4" s="22" t="n">
        <x:f>N4</x:f>
        <x:v>-700</x:v>
      </x:c>
    </x:row>
    <x:row r="5">
      <x:c r="A5" t="n">
        <x:v>1</x:v>
      </x:c>
      <x:c r="B5" s="22" t="n">
        <x:f>Inputs!$B$4*(1+Inputs!$B$5)^(A5-1)</x:f>
        <x:v>12000000</x:v>
      </x:c>
      <x:c r="C5" s="22" t="n">
        <x:f>B5*Inputs!$B$6</x:f>
        <x:v>2160000</x:v>
      </x:c>
      <x:c r="D5" s="22" t="n">
        <x:f>MIN(C5,Inputs!$B$7)</x:f>
        <x:v>2160000</x:v>
      </x:c>
      <x:c r="E5" s="22" t="n">
        <x:f>D5*Inputs!$B$8/10000000</x:f>
        <x:v>140.4</x:v>
      </x:c>
      <x:c r="F5" s="22" t="n">
        <x:f>D5*Inputs!$B$11/10000000</x:f>
        <x:v>38.88</x:v>
      </x:c>
      <x:c r="G5" s="22" t="n">
        <x:f>Inputs!$B$10</x:f>
        <x:v>30</x:v>
      </x:c>
      <x:c r="H5" s="22" t="n">
        <x:f>E5-F5-G5</x:f>
        <x:v>71.52000000000001</x:v>
      </x:c>
      <x:c r="I5" s="22" t="n">
        <x:f>Inputs!$B$9/Inputs!$B$14</x:f>
        <x:v>35</x:v>
      </x:c>
      <x:c r="J5" s="22" t="n">
        <x:f>H5-I5</x:f>
        <x:v>36.52000000000001</x:v>
      </x:c>
      <x:c r="K5" s="22" t="n">
        <x:f>MAX(0,J5)*Inputs!$B$13</x:f>
        <x:v>9.130000000000003</x:v>
      </x:c>
      <x:c r="L5" s="22" t="n">
        <x:f>IF(A5=Inputs!$B$14,Inputs!$B$15,0)</x:f>
        <x:v>0</x:v>
      </x:c>
      <x:c r="M5" s="22" t="n">
        <x:f>Inputs!$B$16</x:f>
        <x:v>0</x:v>
      </x:c>
      <x:c r="N5" s="22" t="n">
        <x:f>H5-K5-M5+L5</x:f>
        <x:v>62.39000000000001</x:v>
      </x:c>
      <x:c r="O5" s="22" t="n">
        <x:f>N5/(1+Inputs!$B$12)^A5</x:f>
        <x:v>55.705357142857146</x:v>
      </x:c>
      <x:c r="P5" s="22" t="n">
        <x:f>P4+N5</x:f>
        <x:v>-637.61</x:v>
      </x:c>
    </x:row>
    <x:row r="6">
      <x:c r="A6" t="n">
        <x:v>2</x:v>
      </x:c>
      <x:c r="B6" s="22" t="n">
        <x:f>Inputs!$B$4*(1+Inputs!$B$5)^(A6-1)</x:f>
        <x:v>12720000</x:v>
      </x:c>
      <x:c r="C6" s="22" t="n">
        <x:f>B6*Inputs!$B$6</x:f>
        <x:v>2289600</x:v>
      </x:c>
      <x:c r="D6" s="22" t="n">
        <x:f>MIN(C6,Inputs!$B$7)</x:f>
        <x:v>2289600</x:v>
      </x:c>
      <x:c r="E6" s="22" t="n">
        <x:f>D6*Inputs!$B$8/10000000</x:f>
        <x:v>148.824</x:v>
      </x:c>
      <x:c r="F6" s="22" t="n">
        <x:f>D6*Inputs!$B$11/10000000</x:f>
        <x:v>41.2128</x:v>
      </x:c>
      <x:c r="G6" s="22" t="n">
        <x:f>Inputs!$B$10</x:f>
        <x:v>30</x:v>
      </x:c>
      <x:c r="H6" s="22" t="n">
        <x:f>E6-F6-G6</x:f>
        <x:v>77.61120000000001</x:v>
      </x:c>
      <x:c r="I6" s="22" t="n">
        <x:f>Inputs!$B$9/Inputs!$B$14</x:f>
        <x:v>35</x:v>
      </x:c>
      <x:c r="J6" s="22" t="n">
        <x:f>H6-I6</x:f>
        <x:v>42.61120000000001</x:v>
      </x:c>
      <x:c r="K6" s="22" t="n">
        <x:f>MAX(0,J6)*Inputs!$B$13</x:f>
        <x:v>10.652800000000003</x:v>
      </x:c>
      <x:c r="L6" s="22" t="n">
        <x:f>IF(A6=Inputs!$B$14,Inputs!$B$15,0)</x:f>
        <x:v>0</x:v>
      </x:c>
      <x:c r="M6" s="22" t="n">
        <x:f>Inputs!$B$16</x:f>
        <x:v>0</x:v>
      </x:c>
      <x:c r="N6" s="22" t="n">
        <x:f>H6-K6-M6+L6</x:f>
        <x:v>66.95840000000001</x:v>
      </x:c>
      <x:c r="O6" s="22" t="n">
        <x:f>N6/(1+Inputs!$B$12)^A6</x:f>
        <x:v>53.378826530612244</x:v>
      </x:c>
      <x:c r="P6" s="22" t="n">
        <x:f>P5+N6</x:f>
        <x:v>-570.6516</x:v>
      </x:c>
    </x:row>
    <x:row r="7">
      <x:c r="A7" t="n">
        <x:v>3</x:v>
      </x:c>
      <x:c r="B7" s="22" t="n">
        <x:f>Inputs!$B$4*(1+Inputs!$B$5)^(A7-1)</x:f>
        <x:v>13483200.000000002</x:v>
      </x:c>
      <x:c r="C7" s="22" t="n">
        <x:f>B7*Inputs!$B$6</x:f>
        <x:v>2426976.0000000005</x:v>
      </x:c>
      <x:c r="D7" s="22" t="n">
        <x:f>MIN(C7,Inputs!$B$7)</x:f>
        <x:v>2426976.0000000005</x:v>
      </x:c>
      <x:c r="E7" s="22" t="n">
        <x:f>D7*Inputs!$B$8/10000000</x:f>
        <x:v>157.75344</x:v>
      </x:c>
      <x:c r="F7" s="22" t="n">
        <x:f>D7*Inputs!$B$11/10000000</x:f>
        <x:v>43.685568</x:v>
      </x:c>
      <x:c r="G7" s="22" t="n">
        <x:f>Inputs!$B$10</x:f>
        <x:v>30</x:v>
      </x:c>
      <x:c r="H7" s="22" t="n">
        <x:f>E7-F7-G7</x:f>
        <x:v>84.06787200000001</x:v>
      </x:c>
      <x:c r="I7" s="22" t="n">
        <x:f>Inputs!$B$9/Inputs!$B$14</x:f>
        <x:v>35</x:v>
      </x:c>
      <x:c r="J7" s="22" t="n">
        <x:f>H7-I7</x:f>
        <x:v>49.06787200000001</x:v>
      </x:c>
      <x:c r="K7" s="22" t="n">
        <x:f>MAX(0,J7)*Inputs!$B$13</x:f>
        <x:v>12.266968000000002</x:v>
      </x:c>
      <x:c r="L7" s="22" t="n">
        <x:f>IF(A7=Inputs!$B$14,Inputs!$B$15,0)</x:f>
        <x:v>0</x:v>
      </x:c>
      <x:c r="M7" s="22" t="n">
        <x:f>Inputs!$B$16</x:f>
        <x:v>0</x:v>
      </x:c>
      <x:c r="N7" s="22" t="n">
        <x:f>H7-K7-M7+L7</x:f>
        <x:v>71.800904</x:v>
      </x:c>
      <x:c r="O7" s="22" t="n">
        <x:f>N7/(1+Inputs!$B$12)^A7</x:f>
        <x:v>51.10646524234693</x:v>
      </x:c>
      <x:c r="P7" s="22" t="n">
        <x:f>P6+N7</x:f>
        <x:v>-498.850696</x:v>
      </x:c>
    </x:row>
    <x:row r="8">
      <x:c r="A8" t="n">
        <x:v>4</x:v>
      </x:c>
      <x:c r="B8" s="22" t="n">
        <x:f>Inputs!$B$4*(1+Inputs!$B$5)^(A8-1)</x:f>
        <x:v>14292192.000000004</x:v>
      </x:c>
      <x:c r="C8" s="22" t="n">
        <x:f>B8*Inputs!$B$6</x:f>
        <x:v>2572594.5600000005</x:v>
      </x:c>
      <x:c r="D8" s="22" t="n">
        <x:f>MIN(C8,Inputs!$B$7)</x:f>
        <x:v>2572594.5600000005</x:v>
      </x:c>
      <x:c r="E8" s="22" t="n">
        <x:f>D8*Inputs!$B$8/10000000</x:f>
        <x:v>167.2186464</x:v>
      </x:c>
      <x:c r="F8" s="22" t="n">
        <x:f>D8*Inputs!$B$11/10000000</x:f>
        <x:v>46.30670208000001</x:v>
      </x:c>
      <x:c r="G8" s="22" t="n">
        <x:f>Inputs!$B$10</x:f>
        <x:v>30</x:v>
      </x:c>
      <x:c r="H8" s="22" t="n">
        <x:f>E8-F8-G8</x:f>
        <x:v>90.91194432</x:v>
      </x:c>
      <x:c r="I8" s="22" t="n">
        <x:f>Inputs!$B$9/Inputs!$B$14</x:f>
        <x:v>35</x:v>
      </x:c>
      <x:c r="J8" s="22" t="n">
        <x:f>H8-I8</x:f>
        <x:v>55.91194432</x:v>
      </x:c>
      <x:c r="K8" s="22" t="n">
        <x:f>MAX(0,J8)*Inputs!$B$13</x:f>
        <x:v>13.97798608</x:v>
      </x:c>
      <x:c r="L8" s="22" t="n">
        <x:f>IF(A8=Inputs!$B$14,Inputs!$B$15,0)</x:f>
        <x:v>0</x:v>
      </x:c>
      <x:c r="M8" s="22" t="n">
        <x:f>Inputs!$B$16</x:f>
        <x:v>0</x:v>
      </x:c>
      <x:c r="N8" s="22" t="n">
        <x:f>H8-K8-M8+L8</x:f>
        <x:v>76.93395824000001</x:v>
      </x:c>
      <x:c r="O8" s="22" t="n">
        <x:f>N8/(1+Inputs!$B$12)^A8</x:f>
        <x:v>48.89292130476233</x:v>
      </x:c>
      <x:c r="P8" s="22" t="n">
        <x:f>P7+N8</x:f>
        <x:v>-421.91673776000005</x:v>
      </x:c>
    </x:row>
    <x:row r="9">
      <x:c r="A9" t="n">
        <x:v>5</x:v>
      </x:c>
      <x:c r="B9" s="22" t="n">
        <x:f>Inputs!$B$4*(1+Inputs!$B$5)^(A9-1)</x:f>
        <x:v>15149723.520000003</x:v>
      </x:c>
      <x:c r="C9" s="22" t="n">
        <x:f>B9*Inputs!$B$6</x:f>
        <x:v>2726950.2336000004</x:v>
      </x:c>
      <x:c r="D9" s="22" t="n">
        <x:f>MIN(C9,Inputs!$B$7)</x:f>
        <x:v>2726950.2336000004</x:v>
      </x:c>
      <x:c r="E9" s="22" t="n">
        <x:f>D9*Inputs!$B$8/10000000</x:f>
        <x:v>177.25176518400002</x:v>
      </x:c>
      <x:c r="F9" s="22" t="n">
        <x:f>D9*Inputs!$B$11/10000000</x:f>
        <x:v>49.08510420480001</x:v>
      </x:c>
      <x:c r="G9" s="22" t="n">
        <x:f>Inputs!$B$10</x:f>
        <x:v>30</x:v>
      </x:c>
      <x:c r="H9" s="22" t="n">
        <x:f>E9-F9-G9</x:f>
        <x:v>98.1666609792</x:v>
      </x:c>
      <x:c r="I9" s="22" t="n">
        <x:f>Inputs!$B$9/Inputs!$B$14</x:f>
        <x:v>35</x:v>
      </x:c>
      <x:c r="J9" s="22" t="n">
        <x:f>H9-I9</x:f>
        <x:v>63.1666609792</x:v>
      </x:c>
      <x:c r="K9" s="22" t="n">
        <x:f>MAX(0,J9)*Inputs!$B$13</x:f>
        <x:v>15.7916652448</x:v>
      </x:c>
      <x:c r="L9" s="22" t="n">
        <x:f>IF(A9=Inputs!$B$14,Inputs!$B$15,0)</x:f>
        <x:v>0</x:v>
      </x:c>
      <x:c r="M9" s="22" t="n">
        <x:f>Inputs!$B$16</x:f>
        <x:v>0</x:v>
      </x:c>
      <x:c r="N9" s="22" t="n">
        <x:f>H9-K9-M9+L9</x:f>
        <x:v>82.3749957344</x:v>
      </x:c>
      <x:c r="O9" s="22" t="n">
        <x:f>N9/(1+Inputs!$B$12)^A9</x:f>
        <x:v>46.74178481940362</x:v>
      </x:c>
      <x:c r="P9" s="22" t="n">
        <x:f>P8+N9</x:f>
        <x:v>-339.54174202560006</x:v>
      </x:c>
    </x:row>
    <x:row r="10">
      <x:c r="A10" t="n">
        <x:v>6</x:v>
      </x:c>
      <x:c r="B10" s="22" t="n">
        <x:f>Inputs!$B$4*(1+Inputs!$B$5)^(A10-1)</x:f>
        <x:v>16058706.931200005</x:v>
      </x:c>
      <x:c r="C10" s="22" t="n">
        <x:f>B10*Inputs!$B$6</x:f>
        <x:v>2890567.247616001</x:v>
      </x:c>
      <x:c r="D10" s="22" t="n">
        <x:f>MIN(C10,Inputs!$B$7)</x:f>
        <x:v>2890567.247616001</x:v>
      </x:c>
      <x:c r="E10" s="22" t="n">
        <x:f>D10*Inputs!$B$8/10000000</x:f>
        <x:v>187.88687109504005</x:v>
      </x:c>
      <x:c r="F10" s="22" t="n">
        <x:f>D10*Inputs!$B$11/10000000</x:f>
        <x:v>52.03021045708802</x:v>
      </x:c>
      <x:c r="G10" s="22" t="n">
        <x:f>Inputs!$B$10</x:f>
        <x:v>30</x:v>
      </x:c>
      <x:c r="H10" s="22" t="n">
        <x:f>E10-F10-G10</x:f>
        <x:v>105.85666063795202</x:v>
      </x:c>
      <x:c r="I10" s="22" t="n">
        <x:f>Inputs!$B$9/Inputs!$B$14</x:f>
        <x:v>35</x:v>
      </x:c>
      <x:c r="J10" s="22" t="n">
        <x:f>H10-I10</x:f>
        <x:v>70.85666063795202</x:v>
      </x:c>
      <x:c r="K10" s="22" t="n">
        <x:f>MAX(0,J10)*Inputs!$B$13</x:f>
        <x:v>17.714165159488005</x:v>
      </x:c>
      <x:c r="L10" s="22" t="n">
        <x:f>IF(A10=Inputs!$B$14,Inputs!$B$15,0)</x:f>
        <x:v>0</x:v>
      </x:c>
      <x:c r="M10" s="22" t="n">
        <x:f>Inputs!$B$16</x:f>
        <x:v>0</x:v>
      </x:c>
      <x:c r="N10" s="22" t="n">
        <x:f>H10-K10-M10+L10</x:f>
        <x:v>88.14249547846401</x:v>
      </x:c>
      <x:c r="O10" s="22" t="n">
        <x:f>N10/(1+Inputs!$B$12)^A10</x:f>
        <x:v>44.65573130762114</x:v>
      </x:c>
      <x:c r="P10" s="22" t="n">
        <x:f>P9+N10</x:f>
        <x:v>-251.39924654713604</x:v>
      </x:c>
    </x:row>
    <x:row r="11">
      <x:c r="A11" t="n">
        <x:v>7</x:v>
      </x:c>
      <x:c r="B11" s="22" t="n">
        <x:f>Inputs!$B$4*(1+Inputs!$B$5)^(A11-1)</x:f>
        <x:v>17022229.347072005</x:v>
      </x:c>
      <x:c r="C11" s="22" t="n">
        <x:f>B11*Inputs!$B$6</x:f>
        <x:v>3064001.2824729607</x:v>
      </x:c>
      <x:c r="D11" s="22" t="n">
        <x:f>MIN(C11,Inputs!$B$7)</x:f>
        <x:v>3064001.2824729607</x:v>
      </x:c>
      <x:c r="E11" s="22" t="n">
        <x:f>D11*Inputs!$B$8/10000000</x:f>
        <x:v>199.16008336074245</x:v>
      </x:c>
      <x:c r="F11" s="22" t="n">
        <x:f>D11*Inputs!$B$11/10000000</x:f>
        <x:v>55.152023084513296</x:v>
      </x:c>
      <x:c r="G11" s="22" t="n">
        <x:f>Inputs!$B$10</x:f>
        <x:v>30</x:v>
      </x:c>
      <x:c r="H11" s="22" t="n">
        <x:f>E11-F11-G11</x:f>
        <x:v>114.00806027622914</x:v>
      </x:c>
      <x:c r="I11" s="22" t="n">
        <x:f>Inputs!$B$9/Inputs!$B$14</x:f>
        <x:v>35</x:v>
      </x:c>
      <x:c r="J11" s="22" t="n">
        <x:f>H11-I11</x:f>
        <x:v>79.00806027622914</x:v>
      </x:c>
      <x:c r="K11" s="22" t="n">
        <x:f>MAX(0,J11)*Inputs!$B$13</x:f>
        <x:v>19.752015069057286</x:v>
      </x:c>
      <x:c r="L11" s="22" t="n">
        <x:f>IF(A11=Inputs!$B$14,Inputs!$B$15,0)</x:f>
        <x:v>0</x:v>
      </x:c>
      <x:c r="M11" s="22" t="n">
        <x:f>Inputs!$B$16</x:f>
        <x:v>0</x:v>
      </x:c>
      <x:c r="N11" s="22" t="n">
        <x:f>H11-K11-M11+L11</x:f>
        <x:v>94.25604520717187</x:v>
      </x:c>
      <x:c r="O11" s="22" t="n">
        <x:f>N11/(1+Inputs!$B$12)^A11</x:f>
        <x:v>42.63664809022295</x:v>
      </x:c>
      <x:c r="P11" s="22" t="n">
        <x:f>P10+N11</x:f>
        <x:v>-157.14320133996418</x:v>
      </x:c>
    </x:row>
    <x:row r="12">
      <x:c r="A12" t="n">
        <x:v>8</x:v>
      </x:c>
      <x:c r="B12" s="22" t="n">
        <x:f>Inputs!$B$4*(1+Inputs!$B$5)^(A12-1)</x:f>
        <x:v>18043563.10789633</x:v>
      </x:c>
      <x:c r="C12" s="22" t="n">
        <x:f>B12*Inputs!$B$6</x:f>
        <x:v>3247841.35942134</x:v>
      </x:c>
      <x:c r="D12" s="22" t="n">
        <x:f>MIN(C12,Inputs!$B$7)</x:f>
        <x:v>3247841.35942134</x:v>
      </x:c>
      <x:c r="E12" s="22" t="n">
        <x:f>D12*Inputs!$B$8/10000000</x:f>
        <x:v>211.1096883623871</x:v>
      </x:c>
      <x:c r="F12" s="22" t="n">
        <x:f>D12*Inputs!$B$11/10000000</x:f>
        <x:v>58.46114446958412</x:v>
      </x:c>
      <x:c r="G12" s="22" t="n">
        <x:f>Inputs!$B$10</x:f>
        <x:v>30</x:v>
      </x:c>
      <x:c r="H12" s="22" t="n">
        <x:f>E12-F12-G12</x:f>
        <x:v>122.64854389280296</x:v>
      </x:c>
      <x:c r="I12" s="22" t="n">
        <x:f>Inputs!$B$9/Inputs!$B$14</x:f>
        <x:v>35</x:v>
      </x:c>
      <x:c r="J12" s="22" t="n">
        <x:f>H12-I12</x:f>
        <x:v>87.64854389280296</x:v>
      </x:c>
      <x:c r="K12" s="22" t="n">
        <x:f>MAX(0,J12)*Inputs!$B$13</x:f>
        <x:v>21.91213597320074</x:v>
      </x:c>
      <x:c r="L12" s="22" t="n">
        <x:f>IF(A12=Inputs!$B$14,Inputs!$B$15,0)</x:f>
        <x:v>0</x:v>
      </x:c>
      <x:c r="M12" s="22" t="n">
        <x:f>Inputs!$B$16</x:f>
        <x:v>0</x:v>
      </x:c>
      <x:c r="N12" s="22" t="n">
        <x:f>H12-K12-M12+L12</x:f>
        <x:v>100.73640791960221</x:v>
      </x:c>
      <x:c r="O12" s="22" t="n">
        <x:f>N12/(1+Inputs!$B$12)^A12</x:f>
        <x:v>40.68574560561542</x:v>
      </x:c>
      <x:c r="P12" s="22" t="n">
        <x:f>P11+N12</x:f>
        <x:v>-56.406793420361964</x:v>
      </x:c>
    </x:row>
    <x:row r="13">
      <x:c r="A13" t="n">
        <x:v>9</x:v>
      </x:c>
      <x:c r="B13" s="22" t="n">
        <x:f>Inputs!$B$4*(1+Inputs!$B$5)^(A13-1)</x:f>
        <x:v>19126176.89437011</x:v>
      </x:c>
      <x:c r="C13" s="22" t="n">
        <x:f>B13*Inputs!$B$6</x:f>
        <x:v>3442711.8409866192</x:v>
      </x:c>
      <x:c r="D13" s="22" t="n">
        <x:f>MIN(C13,Inputs!$B$7)</x:f>
        <x:v>3442711.8409866192</x:v>
      </x:c>
      <x:c r="E13" s="22" t="n">
        <x:f>D13*Inputs!$B$8/10000000</x:f>
        <x:v>223.77626966413027</x:v>
      </x:c>
      <x:c r="F13" s="22" t="n">
        <x:f>D13*Inputs!$B$11/10000000</x:f>
        <x:v>61.96881313775915</x:v>
      </x:c>
      <x:c r="G13" s="22" t="n">
        <x:f>Inputs!$B$10</x:f>
        <x:v>30</x:v>
      </x:c>
      <x:c r="H13" s="22" t="n">
        <x:f>E13-F13-G13</x:f>
        <x:v>131.8074565263711</x:v>
      </x:c>
      <x:c r="I13" s="22" t="n">
        <x:f>Inputs!$B$9/Inputs!$B$14</x:f>
        <x:v>35</x:v>
      </x:c>
      <x:c r="J13" s="22" t="n">
        <x:f>H13-I13</x:f>
        <x:v>96.80745652637111</x:v>
      </x:c>
      <x:c r="K13" s="22" t="n">
        <x:f>MAX(0,J13)*Inputs!$B$13</x:f>
        <x:v>24.201864131592778</x:v>
      </x:c>
      <x:c r="L13" s="22" t="n">
        <x:f>IF(A13=Inputs!$B$14,Inputs!$B$15,0)</x:f>
        <x:v>0</x:v>
      </x:c>
      <x:c r="M13" s="22" t="n">
        <x:f>Inputs!$B$16</x:f>
        <x:v>0</x:v>
      </x:c>
      <x:c r="N13" s="22" t="n">
        <x:f>H13-K13-M13+L13</x:f>
        <x:v>107.60559239477834</x:v>
      </x:c>
      <x:c r="O13" s="22" t="n">
        <x:f>N13/(1+Inputs!$B$12)^A13</x:f>
        <x:v>38.80365536163868</x:v>
      </x:c>
      <x:c r="P13" s="22" t="n">
        <x:f>P12+N13</x:f>
        <x:v>51.19879897441638</x:v>
      </x:c>
    </x:row>
    <x:row r="14">
      <x:c r="A14" t="n">
        <x:v>10</x:v>
      </x:c>
      <x:c r="B14" s="22" t="n">
        <x:f>Inputs!$B$4*(1+Inputs!$B$5)^(A14-1)</x:f>
        <x:v>20273747.508032314</x:v>
      </x:c>
      <x:c r="C14" s="22" t="n">
        <x:f>B14*Inputs!$B$6</x:f>
        <x:v>3649274.5514458166</x:v>
      </x:c>
      <x:c r="D14" s="22" t="n">
        <x:f>MIN(C14,Inputs!$B$7)</x:f>
        <x:v>3649274.5514458166</x:v>
      </x:c>
      <x:c r="E14" s="22" t="n">
        <x:f>D14*Inputs!$B$8/10000000</x:f>
        <x:v>237.20284584397808</x:v>
      </x:c>
      <x:c r="F14" s="22" t="n">
        <x:f>D14*Inputs!$B$11/10000000</x:f>
        <x:v>65.6869419260247</x:v>
      </x:c>
      <x:c r="G14" s="22" t="n">
        <x:f>Inputs!$B$10</x:f>
        <x:v>30</x:v>
      </x:c>
      <x:c r="H14" s="22" t="n">
        <x:f>E14-F14-G14</x:f>
        <x:v>141.51590391795338</x:v>
      </x:c>
      <x:c r="I14" s="22" t="n">
        <x:f>Inputs!$B$9/Inputs!$B$14</x:f>
        <x:v>35</x:v>
      </x:c>
      <x:c r="J14" s="22" t="n">
        <x:f>H14-I14</x:f>
        <x:v>106.51590391795338</x:v>
      </x:c>
      <x:c r="K14" s="22" t="n">
        <x:f>MAX(0,J14)*Inputs!$B$13</x:f>
        <x:v>26.628975979488345</x:v>
      </x:c>
      <x:c r="L14" s="22" t="n">
        <x:f>IF(A14=Inputs!$B$14,Inputs!$B$15,0)</x:f>
        <x:v>0</x:v>
      </x:c>
      <x:c r="M14" s="22" t="n">
        <x:f>Inputs!$B$16</x:f>
        <x:v>0</x:v>
      </x:c>
      <x:c r="N14" s="22" t="n">
        <x:f>H14-K14-M14+L14</x:f>
        <x:v>114.88692793846504</x:v>
      </x:c>
      <x:c r="O14" s="22" t="n">
        <x:f>N14/(1+Inputs!$B$12)^A14</x:f>
        <x:v>36.99051603030964</x:v>
      </x:c>
      <x:c r="P14" s="22" t="n">
        <x:f>P13+N14</x:f>
        <x:v>166.0857269128814</x:v>
      </x:c>
    </x:row>
    <x:row r="15">
      <x:c r="A15" t="n">
        <x:v>11</x:v>
      </x:c>
      <x:c r="B15" s="22" t="n">
        <x:f>Inputs!$B$4*(1+Inputs!$B$5)^(A15-1)</x:f>
        <x:v>21490172.358514257</x:v>
      </x:c>
      <x:c r="C15" s="22" t="n">
        <x:f>B15*Inputs!$B$6</x:f>
        <x:v>3868231.024532566</x:v>
      </x:c>
      <x:c r="D15" s="22" t="n">
        <x:f>MIN(C15,Inputs!$B$7)</x:f>
        <x:v>3868231.024532566</x:v>
      </x:c>
      <x:c r="E15" s="22" t="n">
        <x:f>D15*Inputs!$B$8/10000000</x:f>
        <x:v>251.4350165946168</x:v>
      </x:c>
      <x:c r="F15" s="22" t="n">
        <x:f>D15*Inputs!$B$11/10000000</x:f>
        <x:v>69.62815844158618</x:v>
      </x:c>
      <x:c r="G15" s="22" t="n">
        <x:f>Inputs!$B$10</x:f>
        <x:v>30</x:v>
      </x:c>
      <x:c r="H15" s="22" t="n">
        <x:f>E15-F15-G15</x:f>
        <x:v>151.80685815303062</x:v>
      </x:c>
      <x:c r="I15" s="22" t="n">
        <x:f>Inputs!$B$9/Inputs!$B$14</x:f>
        <x:v>35</x:v>
      </x:c>
      <x:c r="J15" s="22" t="n">
        <x:f>H15-I15</x:f>
        <x:v>116.80685815303062</x:v>
      </x:c>
      <x:c r="K15" s="22" t="n">
        <x:f>MAX(0,J15)*Inputs!$B$13</x:f>
        <x:v>29.201714538257654</x:v>
      </x:c>
      <x:c r="L15" s="22" t="n">
        <x:f>IF(A15=Inputs!$B$14,Inputs!$B$15,0)</x:f>
        <x:v>0</x:v>
      </x:c>
      <x:c r="M15" s="22" t="n">
        <x:f>Inputs!$B$16</x:f>
        <x:v>0</x:v>
      </x:c>
      <x:c r="N15" s="22" t="n">
        <x:f>H15-K15-M15+L15</x:f>
        <x:v>122.60514361477297</x:v>
      </x:c>
      <x:c r="O15" s="22" t="n">
        <x:f>N15/(1+Inputs!$B$12)^A15</x:f>
        <x:v>35.24604902885317</x:v>
      </x:c>
      <x:c r="P15" s="22" t="n">
        <x:f>P14+N15</x:f>
        <x:v>288.6908705276544</x:v>
      </x:c>
    </x:row>
    <x:row r="16">
      <x:c r="A16" t="n">
        <x:v>12</x:v>
      </x:c>
      <x:c r="B16" s="22" t="n">
        <x:f>Inputs!$B$4*(1+Inputs!$B$5)^(A16-1)</x:f>
        <x:v>22779582.700025115</x:v>
      </x:c>
      <x:c r="C16" s="22" t="n">
        <x:f>B16*Inputs!$B$6</x:f>
        <x:v>4100324.8860045206</x:v>
      </x:c>
      <x:c r="D16" s="22" t="n">
        <x:f>MIN(C16,Inputs!$B$7)</x:f>
        <x:v>4100324.8860045206</x:v>
      </x:c>
      <x:c r="E16" s="22" t="n">
        <x:f>D16*Inputs!$B$8/10000000</x:f>
        <x:v>266.52111759029384</x:v>
      </x:c>
      <x:c r="F16" s="22" t="n">
        <x:f>D16*Inputs!$B$11/10000000</x:f>
        <x:v>73.80584794808138</x:v>
      </x:c>
      <x:c r="G16" s="22" t="n">
        <x:f>Inputs!$B$10</x:f>
        <x:v>30</x:v>
      </x:c>
      <x:c r="H16" s="22" t="n">
        <x:f>E16-F16-G16</x:f>
        <x:v>162.71526964221246</x:v>
      </x:c>
      <x:c r="I16" s="22" t="n">
        <x:f>Inputs!$B$9/Inputs!$B$14</x:f>
        <x:v>35</x:v>
      </x:c>
      <x:c r="J16" s="22" t="n">
        <x:f>H16-I16</x:f>
        <x:v>127.71526964221246</x:v>
      </x:c>
      <x:c r="K16" s="22" t="n">
        <x:f>MAX(0,J16)*Inputs!$B$13</x:f>
        <x:v>31.928817410553116</x:v>
      </x:c>
      <x:c r="L16" s="22" t="n">
        <x:f>IF(A16=Inputs!$B$14,Inputs!$B$15,0)</x:f>
        <x:v>0</x:v>
      </x:c>
      <x:c r="M16" s="22" t="n">
        <x:f>Inputs!$B$16</x:f>
        <x:v>0</x:v>
      </x:c>
      <x:c r="N16" s="22" t="n">
        <x:f>H16-K16-M16+L16</x:f>
        <x:v>130.78645223165935</x:v>
      </x:c>
      <x:c r="O16" s="22" t="n">
        <x:f>N16/(1+Inputs!$B$12)^A16</x:f>
        <x:v>33.56962478255885</x:v>
      </x:c>
      <x:c r="P16" s="22" t="n">
        <x:f>P15+N16</x:f>
        <x:v>419.4773227593138</x:v>
      </x:c>
    </x:row>
    <x:row r="17">
      <x:c r="A17" t="n">
        <x:v>13</x:v>
      </x:c>
      <x:c r="B17" s="22" t="n">
        <x:f>Inputs!$B$4*(1+Inputs!$B$5)^(A17-1)</x:f>
        <x:v>24146357.66202662</x:v>
      </x:c>
      <x:c r="C17" s="22" t="n">
        <x:f>B17*Inputs!$B$6</x:f>
        <x:v>4346344.379164792</x:v>
      </x:c>
      <x:c r="D17" s="22" t="n">
        <x:f>MIN(C17,Inputs!$B$7)</x:f>
        <x:v>4346344.379164792</x:v>
      </x:c>
      <x:c r="E17" s="22" t="n">
        <x:f>D17*Inputs!$B$8/10000000</x:f>
        <x:v>282.51238464571145</x:v>
      </x:c>
      <x:c r="F17" s="22" t="n">
        <x:f>D17*Inputs!$B$11/10000000</x:f>
        <x:v>78.23419882496626</x:v>
      </x:c>
      <x:c r="G17" s="22" t="n">
        <x:f>Inputs!$B$10</x:f>
        <x:v>30</x:v>
      </x:c>
      <x:c r="H17" s="22" t="n">
        <x:f>E17-F17-G17</x:f>
        <x:v>174.2781858207452</x:v>
      </x:c>
      <x:c r="I17" s="22" t="n">
        <x:f>Inputs!$B$9/Inputs!$B$14</x:f>
        <x:v>35</x:v>
      </x:c>
      <x:c r="J17" s="22" t="n">
        <x:f>H17-I17</x:f>
        <x:v>139.2781858207452</x:v>
      </x:c>
      <x:c r="K17" s="22" t="n">
        <x:f>MAX(0,J17)*Inputs!$B$13</x:f>
        <x:v>34.8195464551863</x:v>
      </x:c>
      <x:c r="L17" s="22" t="n">
        <x:f>IF(A17=Inputs!$B$14,Inputs!$B$15,0)</x:f>
        <x:v>0</x:v>
      </x:c>
      <x:c r="M17" s="22" t="n">
        <x:f>Inputs!$B$16</x:f>
        <x:v>0</x:v>
      </x:c>
      <x:c r="N17" s="22" t="n">
        <x:f>H17-K17-M17+L17</x:f>
        <x:v>139.4586393655589</x:v>
      </x:c>
      <x:c r="O17" s="22" t="n">
        <x:f>N17/(1+Inputs!$B$12)^A17</x:f>
        <x:v>31.96032073320742</x:v>
      </x:c>
      <x:c r="P17" s="22" t="n">
        <x:f>P16+N17</x:f>
        <x:v>558.9359621248727</x:v>
      </x:c>
    </x:row>
    <x:row r="18">
      <x:c r="A18" t="n">
        <x:v>14</x:v>
      </x:c>
      <x:c r="B18" s="22" t="n">
        <x:f>Inputs!$B$4*(1+Inputs!$B$5)^(A18-1)</x:f>
        <x:v>25595139.12174822</x:v>
      </x:c>
      <x:c r="C18" s="22" t="n">
        <x:f>B18*Inputs!$B$6</x:f>
        <x:v>4607125.041914679</x:v>
      </x:c>
      <x:c r="D18" s="22" t="n">
        <x:f>MIN(C18,Inputs!$B$7)</x:f>
        <x:v>4607125.041914679</x:v>
      </x:c>
      <x:c r="E18" s="22" t="n">
        <x:f>D18*Inputs!$B$8/10000000</x:f>
        <x:v>299.4631277244542</x:v>
      </x:c>
      <x:c r="F18" s="22" t="n">
        <x:f>D18*Inputs!$B$11/10000000</x:f>
        <x:v>82.92825075446422</x:v>
      </x:c>
      <x:c r="G18" s="22" t="n">
        <x:f>Inputs!$B$10</x:f>
        <x:v>30</x:v>
      </x:c>
      <x:c r="H18" s="22" t="n">
        <x:f>E18-F18-G18</x:f>
        <x:v>186.53487696998997</x:v>
      </x:c>
      <x:c r="I18" s="22" t="n">
        <x:f>Inputs!$B$9/Inputs!$B$14</x:f>
        <x:v>35</x:v>
      </x:c>
      <x:c r="J18" s="22" t="n">
        <x:f>H18-I18</x:f>
        <x:v>151.53487696998997</x:v>
      </x:c>
      <x:c r="K18" s="22" t="n">
        <x:f>MAX(0,J18)*Inputs!$B$13</x:f>
        <x:v>37.88371924249749</x:v>
      </x:c>
      <x:c r="L18" s="22" t="n">
        <x:f>IF(A18=Inputs!$B$14,Inputs!$B$15,0)</x:f>
        <x:v>0</x:v>
      </x:c>
      <x:c r="M18" s="22" t="n">
        <x:f>Inputs!$B$16</x:f>
        <x:v>0</x:v>
      </x:c>
      <x:c r="N18" s="22" t="n">
        <x:f>H18-K18-M18+L18</x:f>
        <x:v>148.6511577274925</x:v>
      </x:c>
      <x:c r="O18" s="22" t="n">
        <x:f>N18/(1+Inputs!$B$12)^A18</x:f>
        <x:v>30.41697203933658</x:v>
      </x:c>
      <x:c r="P18" s="22" t="n">
        <x:f>P17+N18</x:f>
        <x:v>707.5871198523653</x:v>
      </x:c>
    </x:row>
    <x:row r="19">
      <x:c r="A19" t="n">
        <x:v>15</x:v>
      </x:c>
      <x:c r="B19" s="22" t="n">
        <x:f>Inputs!$B$4*(1+Inputs!$B$5)^(A19-1)</x:f>
        <x:v>27130847.469053116</x:v>
      </x:c>
      <x:c r="C19" s="22" t="n">
        <x:f>B19*Inputs!$B$6</x:f>
        <x:v>4883552.54442956</x:v>
      </x:c>
      <x:c r="D19" s="22" t="n">
        <x:f>MIN(C19,Inputs!$B$7)</x:f>
        <x:v>4883552.54442956</x:v>
      </x:c>
      <x:c r="E19" s="22" t="n">
        <x:f>D19*Inputs!$B$8/10000000</x:f>
        <x:v>317.4309153879214</x:v>
      </x:c>
      <x:c r="F19" s="22" t="n">
        <x:f>D19*Inputs!$B$11/10000000</x:f>
        <x:v>87.90394579973209</x:v>
      </x:c>
      <x:c r="G19" s="22" t="n">
        <x:f>Inputs!$B$10</x:f>
        <x:v>30</x:v>
      </x:c>
      <x:c r="H19" s="22" t="n">
        <x:f>E19-F19-G19</x:f>
        <x:v>199.52696958818933</x:v>
      </x:c>
      <x:c r="I19" s="22" t="n">
        <x:f>Inputs!$B$9/Inputs!$B$14</x:f>
        <x:v>35</x:v>
      </x:c>
      <x:c r="J19" s="22" t="n">
        <x:f>H19-I19</x:f>
        <x:v>164.52696958818933</x:v>
      </x:c>
      <x:c r="K19" s="22" t="n">
        <x:f>MAX(0,J19)*Inputs!$B$13</x:f>
        <x:v>41.13174239704733</x:v>
      </x:c>
      <x:c r="L19" s="22" t="n">
        <x:f>IF(A19=Inputs!$B$14,Inputs!$B$15,0)</x:f>
        <x:v>0</x:v>
      </x:c>
      <x:c r="M19" s="22" t="n">
        <x:f>Inputs!$B$16</x:f>
        <x:v>0</x:v>
      </x:c>
      <x:c r="N19" s="22" t="n">
        <x:f>H19-K19-M19+L19</x:f>
        <x:v>158.395227191142</x:v>
      </x:c>
      <x:c r="O19" s="22" t="n">
        <x:f>N19/(1+Inputs!$B$12)^A19</x:f>
        <x:v>28.938215809915082</x:v>
      </x:c>
      <x:c r="P19" s="22" t="n">
        <x:f>P18+N19</x:f>
        <x:v>865.9823470435073</x:v>
      </x:c>
    </x:row>
    <x:row r="20">
      <x:c r="A20" t="n">
        <x:v>16</x:v>
      </x:c>
      <x:c r="B20" s="22" t="n">
        <x:f>Inputs!$B$4*(1+Inputs!$B$5)^(A20-1)</x:f>
        <x:v>28758698.31719631</x:v>
      </x:c>
      <x:c r="C20" s="22" t="n">
        <x:f>B20*Inputs!$B$6</x:f>
        <x:v>5176565.697095335</x:v>
      </x:c>
      <x:c r="D20" s="22" t="n">
        <x:f>MIN(C20,Inputs!$B$7)</x:f>
        <x:v>5176565.697095335</x:v>
      </x:c>
      <x:c r="E20" s="22" t="n">
        <x:f>D20*Inputs!$B$8/10000000</x:f>
        <x:v>336.4767703111968</x:v>
      </x:c>
      <x:c r="F20" s="22" t="n">
        <x:f>D20*Inputs!$B$11/10000000</x:f>
        <x:v>93.17818254771603</x:v>
      </x:c>
      <x:c r="G20" s="22" t="n">
        <x:f>Inputs!$B$10</x:f>
        <x:v>30</x:v>
      </x:c>
      <x:c r="H20" s="22" t="n">
        <x:f>E20-F20-G20</x:f>
        <x:v>213.29858776348075</x:v>
      </x:c>
      <x:c r="I20" s="22" t="n">
        <x:f>Inputs!$B$9/Inputs!$B$14</x:f>
        <x:v>35</x:v>
      </x:c>
      <x:c r="J20" s="22" t="n">
        <x:f>H20-I20</x:f>
        <x:v>178.29858776348075</x:v>
      </x:c>
      <x:c r="K20" s="22" t="n">
        <x:f>MAX(0,J20)*Inputs!$B$13</x:f>
        <x:v>44.57464694087019</x:v>
      </x:c>
      <x:c r="L20" s="22" t="n">
        <x:f>IF(A20=Inputs!$B$14,Inputs!$B$15,0)</x:f>
        <x:v>0</x:v>
      </x:c>
      <x:c r="M20" s="22" t="n">
        <x:f>Inputs!$B$16</x:f>
        <x:v>0</x:v>
      </x:c>
      <x:c r="N20" s="22" t="n">
        <x:f>H20-K20-M20+L20</x:f>
        <x:v>168.72394082261056</x:v>
      </x:c>
      <x:c r="O20" s="22" t="n">
        <x:f>N20/(1+Inputs!$B$12)^A20</x:f>
        <x:v>27.522529619690136</x:v>
      </x:c>
      <x:c r="P20" s="22" t="n">
        <x:f>P19+N20</x:f>
        <x:v>1034.706287866118</x:v>
      </x:c>
    </x:row>
    <x:row r="21">
      <x:c r="A21" t="n">
        <x:v>17</x:v>
      </x:c>
      <x:c r="B21" s="22" t="n">
        <x:f>Inputs!$B$4*(1+Inputs!$B$5)^(A21-1)</x:f>
        <x:v>30484220.21622808</x:v>
      </x:c>
      <x:c r="C21" s="22" t="n">
        <x:f>B21*Inputs!$B$6</x:f>
        <x:v>5487159.638921054</x:v>
      </x:c>
      <x:c r="D21" s="22" t="n">
        <x:f>MIN(C21,Inputs!$B$7)</x:f>
        <x:v>5487159.638921054</x:v>
      </x:c>
      <x:c r="E21" s="22" t="n">
        <x:f>D21*Inputs!$B$8/10000000</x:f>
        <x:v>356.6653765298685</x:v>
      </x:c>
      <x:c r="F21" s="22" t="n">
        <x:f>D21*Inputs!$B$11/10000000</x:f>
        <x:v>98.76887350057898</x:v>
      </x:c>
      <x:c r="G21" s="22" t="n">
        <x:f>Inputs!$B$10</x:f>
        <x:v>30</x:v>
      </x:c>
      <x:c r="H21" s="22" t="n">
        <x:f>E21-F21-G21</x:f>
        <x:v>227.89650302928953</x:v>
      </x:c>
      <x:c r="I21" s="22" t="n">
        <x:f>Inputs!$B$9/Inputs!$B$14</x:f>
        <x:v>35</x:v>
      </x:c>
      <x:c r="J21" s="22" t="n">
        <x:f>H21-I21</x:f>
        <x:v>192.89650302928953</x:v>
      </x:c>
      <x:c r="K21" s="22" t="n">
        <x:f>MAX(0,J21)*Inputs!$B$13</x:f>
        <x:v>48.22412575732238</x:v>
      </x:c>
      <x:c r="L21" s="22" t="n">
        <x:f>IF(A21=Inputs!$B$14,Inputs!$B$15,0)</x:f>
        <x:v>0</x:v>
      </x:c>
      <x:c r="M21" s="22" t="n">
        <x:f>Inputs!$B$16</x:f>
        <x:v>0</x:v>
      </x:c>
      <x:c r="N21" s="22" t="n">
        <x:f>H21-K21-M21+L21</x:f>
        <x:v>179.67237727196715</x:v>
      </x:c>
      <x:c r="O21" s="22" t="n">
        <x:f>N21/(1+Inputs!$B$12)^A21</x:f>
        <x:v>26.168264971332178</x:v>
      </x:c>
      <x:c r="P21" s="22" t="n">
        <x:f>P20+N21</x:f>
        <x:v>1214.3786651380851</x:v>
      </x:c>
    </x:row>
    <x:row r="22">
      <x:c r="A22" t="n">
        <x:v>18</x:v>
      </x:c>
      <x:c r="B22" s="22" t="n">
        <x:f>Inputs!$B$4*(1+Inputs!$B$5)^(A22-1)</x:f>
        <x:v>32313273.429201767</x:v>
      </x:c>
      <x:c r="C22" s="22" t="n">
        <x:f>B22*Inputs!$B$6</x:f>
        <x:v>5816389.217256318</x:v>
      </x:c>
      <x:c r="D22" s="22" t="n">
        <x:f>MIN(C22,Inputs!$B$7)</x:f>
        <x:v>5816389.217256318</x:v>
      </x:c>
      <x:c r="E22" s="22" t="n">
        <x:f>D22*Inputs!$B$8/10000000</x:f>
        <x:v>378.06529912166064</x:v>
      </x:c>
      <x:c r="F22" s="22" t="n">
        <x:f>D22*Inputs!$B$11/10000000</x:f>
        <x:v>104.69500591061372</x:v>
      </x:c>
      <x:c r="G22" s="22" t="n">
        <x:f>Inputs!$B$10</x:f>
        <x:v>30</x:v>
      </x:c>
      <x:c r="H22" s="22" t="n">
        <x:f>E22-F22-G22</x:f>
        <x:v>243.37029321104694</x:v>
      </x:c>
      <x:c r="I22" s="22" t="n">
        <x:f>Inputs!$B$9/Inputs!$B$14</x:f>
        <x:v>35</x:v>
      </x:c>
      <x:c r="J22" s="22" t="n">
        <x:f>H22-I22</x:f>
        <x:v>208.37029321104694</x:v>
      </x:c>
      <x:c r="K22" s="22" t="n">
        <x:f>MAX(0,J22)*Inputs!$B$13</x:f>
        <x:v>52.092573302761735</x:v>
      </x:c>
      <x:c r="L22" s="22" t="n">
        <x:f>IF(A22=Inputs!$B$14,Inputs!$B$15,0)</x:f>
        <x:v>0</x:v>
      </x:c>
      <x:c r="M22" s="22" t="n">
        <x:f>Inputs!$B$16</x:f>
        <x:v>0</x:v>
      </x:c>
      <x:c r="N22" s="22" t="n">
        <x:f>H22-K22-M22+L22</x:f>
        <x:v>191.2777199082852</x:v>
      </x:c>
      <x:c r="O22" s="22" t="n">
        <x:f>N22/(1+Inputs!$B$12)^A22</x:f>
        <x:v>24.873676295428943</x:v>
      </x:c>
      <x:c r="P22" s="22" t="n">
        <x:f>P21+N22</x:f>
        <x:v>1405.6563850463704</x:v>
      </x:c>
    </x:row>
    <x:row r="23">
      <x:c r="A23" t="n">
        <x:v>19</x:v>
      </x:c>
      <x:c r="B23" s="22" t="n">
        <x:f>Inputs!$B$4*(1+Inputs!$B$5)^(A23-1)</x:f>
        <x:v>34252069.834953874</x:v>
      </x:c>
      <x:c r="C23" s="22" t="n">
        <x:f>B23*Inputs!$B$6</x:f>
        <x:v>6165372.570291697</x:v>
      </x:c>
      <x:c r="D23" s="22" t="n">
        <x:f>MIN(C23,Inputs!$B$7)</x:f>
        <x:v>6165372.570291697</x:v>
      </x:c>
      <x:c r="E23" s="22" t="n">
        <x:f>D23*Inputs!$B$8/10000000</x:f>
        <x:v>400.74921706896026</x:v>
      </x:c>
      <x:c r="F23" s="22" t="n">
        <x:f>D23*Inputs!$B$11/10000000</x:f>
        <x:v>110.97670626525054</x:v>
      </x:c>
      <x:c r="G23" s="22" t="n">
        <x:f>Inputs!$B$10</x:f>
        <x:v>30</x:v>
      </x:c>
      <x:c r="H23" s="22" t="n">
        <x:f>E23-F23-G23</x:f>
        <x:v>259.77251080370974</x:v>
      </x:c>
      <x:c r="I23" s="22" t="n">
        <x:f>Inputs!$B$9/Inputs!$B$14</x:f>
        <x:v>35</x:v>
      </x:c>
      <x:c r="J23" s="22" t="n">
        <x:f>H23-I23</x:f>
        <x:v>224.77251080370974</x:v>
      </x:c>
      <x:c r="K23" s="22" t="n">
        <x:f>MAX(0,J23)*Inputs!$B$13</x:f>
        <x:v>56.193127700927434</x:v>
      </x:c>
      <x:c r="L23" s="22" t="n">
        <x:f>IF(A23=Inputs!$B$14,Inputs!$B$15,0)</x:f>
        <x:v>0</x:v>
      </x:c>
      <x:c r="M23" s="22" t="n">
        <x:f>Inputs!$B$16</x:f>
        <x:v>0</x:v>
      </x:c>
      <x:c r="N23" s="22" t="n">
        <x:f>H23-K23-M23+L23</x:f>
        <x:v>203.5793831027823</x:v>
      </x:c>
      <x:c r="O23" s="22" t="n">
        <x:f>N23/(1+Inputs!$B$12)^A23</x:f>
        <x:v>23.636946013394084</x:v>
      </x:c>
      <x:c r="P23" s="22" t="n">
        <x:f>P22+N23</x:f>
        <x:v>1609.2357681491526</x:v>
      </x:c>
    </x:row>
    <x:row r="24">
      <x:c r="A24" t="n">
        <x:v>20</x:v>
      </x:c>
      <x:c r="B24" s="22" t="n">
        <x:f>Inputs!$B$4*(1+Inputs!$B$5)^(A24-1)</x:f>
        <x:v>36307194.02505111</x:v>
      </x:c>
      <x:c r="C24" s="22" t="n">
        <x:f>B24*Inputs!$B$6</x:f>
        <x:v>6535294.924509199</x:v>
      </x:c>
      <x:c r="D24" s="22" t="n">
        <x:f>MIN(C24,Inputs!$B$7)</x:f>
        <x:v>6535294.924509199</x:v>
      </x:c>
      <x:c r="E24" s="22" t="n">
        <x:f>D24*Inputs!$B$8/10000000</x:f>
        <x:v>424.794170093098</x:v>
      </x:c>
      <x:c r="F24" s="22" t="n">
        <x:f>D24*Inputs!$B$11/10000000</x:f>
        <x:v>117.6353086411656</x:v>
      </x:c>
      <x:c r="G24" s="22" t="n">
        <x:f>Inputs!$B$10</x:f>
        <x:v>30</x:v>
      </x:c>
      <x:c r="H24" s="22" t="n">
        <x:f>E24-F24-G24</x:f>
        <x:v>277.1588614519324</x:v>
      </x:c>
      <x:c r="I24" s="22" t="n">
        <x:f>Inputs!$B$9/Inputs!$B$14</x:f>
        <x:v>35</x:v>
      </x:c>
      <x:c r="J24" s="22" t="n">
        <x:f>H24-I24</x:f>
        <x:v>242.1588614519324</x:v>
      </x:c>
      <x:c r="K24" s="22" t="n">
        <x:f>MAX(0,J24)*Inputs!$B$13</x:f>
        <x:v>60.5397153629831</x:v>
      </x:c>
      <x:c r="L24" s="22" t="n">
        <x:f>IF(A24=Inputs!$B$14,Inputs!$B$15,0)</x:f>
        <x:v>0</x:v>
      </x:c>
      <x:c r="M24" s="22" t="n">
        <x:f>Inputs!$B$16</x:f>
        <x:v>0</x:v>
      </x:c>
      <x:c r="N24" s="22" t="n">
        <x:f>H24-K24-M24+L24</x:f>
        <x:v>216.61914608894932</x:v>
      </x:c>
      <x:c r="O24" s="22" t="n">
        <x:f>N24/(1+Inputs!$B$12)^A24</x:f>
        <x:v>22.45620612958241</x:v>
      </x:c>
      <x:c r="P24" s="22" t="n">
        <x:f>P23+N24</x:f>
        <x:v>1825.8549142381019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3" t="str">
        <x:v>SCENARIO RESULTS | SNAPSHOTS FROM REPRODUCIBLE PYTHON RUN</x:v>
      </x:c>
      <x:c r="B1" s="3"/>
      <x:c r="C1" s="3"/>
      <x:c r="D1" s="3"/>
      <x:c r="E1" s="3"/>
      <x:c r="F1" s="3"/>
      <x:c r="G1" s="3"/>
    </x:row>
    <x:row r="3">
      <x:c r="A3" s="7" t="str">
        <x:v>Case</x:v>
      </x:c>
      <x:c r="B3" s="7" t="str">
        <x:v>Growth</x:v>
      </x:c>
      <x:c r="C3" s="7" t="str">
        <x:v>Capture</x:v>
      </x:c>
      <x:c r="D3" s="7" t="str">
        <x:v>Tariff (INR/t)</x:v>
      </x:c>
      <x:c r="E3" s="7" t="str">
        <x:v>Capex (INR cr)</x:v>
      </x:c>
      <x:c r="F3" s="7" t="str">
        <x:v>Project IRR</x:v>
      </x:c>
      <x:c r="G3" s="7" t="str">
        <x:v>NPV (INR cr)</x:v>
      </x:c>
    </x:row>
    <x:row r="4">
      <x:c r="A4" t="str">
        <x:v>Downside</x:v>
      </x:c>
      <x:c r="B4" s="24" t="n">
        <x:v>0.03</x:v>
      </x:c>
      <x:c r="C4" s="24" t="n">
        <x:v>0.14</x:v>
      </x:c>
      <x:c r="D4" t="n">
        <x:v>600</x:v>
      </x:c>
      <x:c r="E4" t="n">
        <x:v>770</x:v>
      </x:c>
      <x:c r="F4" s="26" t="n">
        <x:v>0.0380287093339632</x:v>
      </x:c>
      <x:c r="G4" t="n">
        <x:v>-388.2625075987689</x:v>
      </x:c>
    </x:row>
    <x:row r="5">
      <x:c r="A5" t="str">
        <x:v>Base</x:v>
      </x:c>
      <x:c r="B5" s="24" t="n">
        <x:v>0.06</x:v>
      </x:c>
      <x:c r="C5" s="24" t="n">
        <x:v>0.18</x:v>
      </x:c>
      <x:c r="D5" t="n">
        <x:v>650</x:v>
      </x:c>
      <x:c r="E5" t="n">
        <x:v>700</x:v>
      </x:c>
      <x:c r="F5" s="26" t="n">
        <x:v>0.127826852360176</x:v>
      </x:c>
      <x:c r="G5" t="n">
        <x:v>44.38645685868869</x:v>
      </x:c>
    </x:row>
    <x:row r="6">
      <x:c r="A6" t="str">
        <x:v>Upside</x:v>
      </x:c>
      <x:c r="B6" s="24" t="n">
        <x:v>0.08</x:v>
      </x:c>
      <x:c r="C6" s="24" t="n">
        <x:v>0.2</x:v>
      </x:c>
      <x:c r="D6" t="n">
        <x:v>700</x:v>
      </x:c>
      <x:c r="E6" t="n">
        <x:v>665</x:v>
      </x:c>
      <x:c r="F6" s="26" t="n">
        <x:v>0.1853645472253822</x:v>
      </x:c>
      <x:c r="G6" t="n">
        <x:v>405.5300223345688</x:v>
      </x:c>
    </x:row>
    <x:row r="8">
      <x:c r="A8" t="str">
        <x:v>Edit Inputs for the dynamic Base Model; rerun Python to refresh scenario snapshots.</x:v>
      </x:c>
    </x:row>
  </x:sheetData>
  <x:mergeCells>
    <x:mergeCell ref="A1:G1"/>
    <x:mergeCell ref="A8:G8"/>
  </x:mergeCells>
  <x:pageMargins left="0.7" right="0.7" top="0.75" bottom="0.75" header="0.3" footer="0.3"/>
</x:worksheet>
</file>